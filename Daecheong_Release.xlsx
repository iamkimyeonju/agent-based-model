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f1d071c2ae1f5d/SN가뭄취약성_연주인계/3차년도/Research/코드n자료/"/>
    </mc:Choice>
  </mc:AlternateContent>
  <xr:revisionPtr revIDLastSave="181" documentId="8_{CD10616B-4572-419F-B58C-1D7D02579250}" xr6:coauthVersionLast="47" xr6:coauthVersionMax="47" xr10:uidLastSave="{46A26387-894F-4850-8998-FA8789C6E8A3}"/>
  <bookViews>
    <workbookView xWindow="12710" yWindow="0" windowWidth="12980" windowHeight="14490" xr2:uid="{B2084D3F-2D7D-45B3-94E3-BD781752E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1" l="1"/>
  <c r="T36" i="1"/>
  <c r="T35" i="1"/>
  <c r="T34" i="1"/>
  <c r="T33" i="1"/>
  <c r="T32" i="1"/>
  <c r="T25" i="1"/>
  <c r="T24" i="1"/>
  <c r="T23" i="1"/>
  <c r="T22" i="1"/>
  <c r="T21" i="1"/>
  <c r="T20" i="1"/>
  <c r="T13" i="1"/>
  <c r="T12" i="1"/>
  <c r="T11" i="1"/>
  <c r="T10" i="1"/>
  <c r="T9" i="1"/>
  <c r="T8" i="1"/>
  <c r="Q37" i="1"/>
  <c r="Q36" i="1"/>
  <c r="Q35" i="1"/>
  <c r="Q34" i="1"/>
  <c r="Q33" i="1"/>
  <c r="Q32" i="1"/>
  <c r="Q25" i="1"/>
  <c r="Q24" i="1"/>
  <c r="Q23" i="1"/>
  <c r="Q22" i="1"/>
  <c r="Q21" i="1"/>
  <c r="Q20" i="1"/>
  <c r="Q13" i="1"/>
  <c r="Q12" i="1"/>
  <c r="Q11" i="1"/>
  <c r="Q10" i="1"/>
  <c r="Q9" i="1"/>
  <c r="Q8" i="1"/>
  <c r="P37" i="1"/>
  <c r="S37" i="1" s="1"/>
  <c r="P36" i="1"/>
  <c r="S36" i="1" s="1"/>
  <c r="P35" i="1"/>
  <c r="S35" i="1" s="1"/>
  <c r="P34" i="1"/>
  <c r="S34" i="1" s="1"/>
  <c r="P33" i="1"/>
  <c r="S33" i="1" s="1"/>
  <c r="P32" i="1"/>
  <c r="S32" i="1" s="1"/>
  <c r="P31" i="1"/>
  <c r="S31" i="1" s="1"/>
  <c r="P30" i="1"/>
  <c r="S30" i="1" s="1"/>
  <c r="P29" i="1"/>
  <c r="S29" i="1" s="1"/>
  <c r="P28" i="1"/>
  <c r="S28" i="1" s="1"/>
  <c r="P27" i="1"/>
  <c r="S27" i="1" s="1"/>
  <c r="P26" i="1"/>
  <c r="S26" i="1" s="1"/>
  <c r="P25" i="1"/>
  <c r="S25" i="1" s="1"/>
  <c r="P24" i="1"/>
  <c r="S24" i="1" s="1"/>
  <c r="P23" i="1"/>
  <c r="S23" i="1" s="1"/>
  <c r="P22" i="1"/>
  <c r="S22" i="1" s="1"/>
  <c r="P21" i="1"/>
  <c r="S21" i="1" s="1"/>
  <c r="P20" i="1"/>
  <c r="S20" i="1" s="1"/>
  <c r="P19" i="1"/>
  <c r="S19" i="1" s="1"/>
  <c r="P18" i="1"/>
  <c r="S18" i="1" s="1"/>
  <c r="P17" i="1"/>
  <c r="S17" i="1" s="1"/>
  <c r="P16" i="1"/>
  <c r="S16" i="1" s="1"/>
  <c r="P15" i="1"/>
  <c r="S15" i="1" s="1"/>
  <c r="P14" i="1"/>
  <c r="S14" i="1" s="1"/>
  <c r="P13" i="1"/>
  <c r="S13" i="1" s="1"/>
  <c r="P12" i="1"/>
  <c r="S12" i="1" s="1"/>
  <c r="P11" i="1"/>
  <c r="S11" i="1" s="1"/>
  <c r="P10" i="1"/>
  <c r="S10" i="1" s="1"/>
  <c r="P9" i="1"/>
  <c r="S9" i="1" s="1"/>
  <c r="P8" i="1"/>
  <c r="S8" i="1" s="1"/>
  <c r="P7" i="1"/>
  <c r="S7" i="1" s="1"/>
  <c r="P6" i="1"/>
  <c r="S6" i="1" s="1"/>
  <c r="P5" i="1"/>
  <c r="S5" i="1" s="1"/>
  <c r="P4" i="1"/>
  <c r="S4" i="1" s="1"/>
  <c r="P3" i="1"/>
  <c r="S3" i="1" s="1"/>
  <c r="P2" i="1"/>
  <c r="S2" i="1" s="1"/>
  <c r="N37" i="1"/>
  <c r="M37" i="1"/>
  <c r="N36" i="1"/>
  <c r="M36" i="1"/>
  <c r="N35" i="1"/>
  <c r="M35" i="1"/>
  <c r="N34" i="1"/>
  <c r="M34" i="1"/>
  <c r="N33" i="1"/>
  <c r="M33" i="1"/>
  <c r="N32" i="1"/>
  <c r="M32" i="1"/>
  <c r="M31" i="1"/>
  <c r="M30" i="1"/>
  <c r="M29" i="1"/>
  <c r="M28" i="1"/>
  <c r="M27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M19" i="1"/>
  <c r="M18" i="1"/>
  <c r="M17" i="1"/>
  <c r="M16" i="1"/>
  <c r="M15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M5" i="1"/>
  <c r="M4" i="1"/>
  <c r="M3" i="1"/>
  <c r="M2" i="1"/>
  <c r="L32" i="1"/>
  <c r="L31" i="1"/>
  <c r="L30" i="1"/>
  <c r="L29" i="1"/>
  <c r="L28" i="1"/>
  <c r="L27" i="1"/>
  <c r="L26" i="1"/>
  <c r="L20" i="1"/>
  <c r="L19" i="1"/>
  <c r="L18" i="1"/>
  <c r="L17" i="1"/>
  <c r="L16" i="1"/>
  <c r="L15" i="1"/>
  <c r="L14" i="1"/>
  <c r="L8" i="1"/>
  <c r="L3" i="1"/>
  <c r="L4" i="1"/>
  <c r="L5" i="1"/>
  <c r="L6" i="1"/>
  <c r="L7" i="1"/>
  <c r="L2" i="1"/>
  <c r="H25" i="1"/>
  <c r="H24" i="1"/>
  <c r="H23" i="1"/>
  <c r="H22" i="1"/>
  <c r="H21" i="1"/>
  <c r="H20" i="1"/>
  <c r="H37" i="1"/>
  <c r="H36" i="1"/>
  <c r="H35" i="1"/>
  <c r="H34" i="1"/>
  <c r="H33" i="1"/>
  <c r="H32" i="1"/>
  <c r="K10" i="1"/>
  <c r="K37" i="1"/>
  <c r="K36" i="1"/>
  <c r="K35" i="1"/>
  <c r="K34" i="1"/>
  <c r="K33" i="1"/>
  <c r="K32" i="1"/>
  <c r="K25" i="1"/>
  <c r="K24" i="1"/>
  <c r="K23" i="1"/>
  <c r="K22" i="1"/>
  <c r="K21" i="1"/>
  <c r="K20" i="1"/>
  <c r="K13" i="1"/>
  <c r="K12" i="1"/>
  <c r="K11" i="1"/>
  <c r="K9" i="1"/>
  <c r="K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9" i="1"/>
  <c r="J10" i="1"/>
  <c r="J11" i="1"/>
  <c r="J12" i="1"/>
  <c r="J13" i="1"/>
  <c r="J8" i="1"/>
  <c r="J3" i="1"/>
  <c r="J4" i="1"/>
  <c r="J5" i="1"/>
  <c r="J6" i="1"/>
  <c r="J7" i="1"/>
  <c r="J2" i="1"/>
  <c r="H13" i="1"/>
  <c r="H12" i="1"/>
  <c r="H11" i="1"/>
  <c r="H10" i="1"/>
  <c r="H9" i="1"/>
  <c r="H8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<sst xmlns="http://schemas.openxmlformats.org/spreadsheetml/2006/main" count="57" uniqueCount="33">
  <si>
    <t>Date</t>
  </si>
  <si>
    <t>LV1</t>
  </si>
  <si>
    <t>LV2</t>
  </si>
  <si>
    <t>LV3</t>
  </si>
  <si>
    <t>LV4</t>
  </si>
  <si>
    <t>I_LV0</t>
  </si>
  <si>
    <t>A_LV0</t>
  </si>
  <si>
    <t>E_LV0</t>
  </si>
  <si>
    <t>I_LV1</t>
  </si>
  <si>
    <t>A_LV1</t>
  </si>
  <si>
    <t>E_LV1</t>
  </si>
  <si>
    <t>I_LV2</t>
  </si>
  <si>
    <t>A_LV2</t>
  </si>
  <si>
    <t>E_LV2</t>
  </si>
  <si>
    <t>I_LV3</t>
  </si>
  <si>
    <t>A_LV3</t>
  </si>
  <si>
    <t>E_LV3</t>
  </si>
  <si>
    <t>I_LV4</t>
  </si>
  <si>
    <t>A_LV4</t>
  </si>
  <si>
    <t>E_LV4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</si>
  <si>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</si>
  <si>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</si>
  <si>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</si>
  <si>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</si>
  <si>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</si>
  <si>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</si>
  <si>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</si>
  <si>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</si>
  <si>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</si>
  <si>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</si>
  <si>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</si>
  <si>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</si>
  <si>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LV0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</si>
</sst>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769C-0B51-4933-B08B-E783DE798202}">
  <dimension ref="A1:U37"/>
  <sheetViews>
    <sheetView tabSelected="1" workbookViewId="0">
      <selection activeCell="F41" sqref="F41"/>
    </sheetView>
  </sheetViews>
  <sheetFormatPr defaultRowHeight="14.5" x14ac:dyDescent="0.35"/>
  <sheetData>
    <row r="1" spans="1:21" x14ac:dyDescent="0.35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 t="s">
        <v>20</v>
      </c>
      <c r="B2">
        <v>851.4</v>
      </c>
      <c r="C2">
        <v>811.8</v>
      </c>
      <c r="D2">
        <v>768.1</v>
      </c>
      <c r="E2">
        <v>640.79999999999995</v>
      </c>
      <c r="F2">
        <v>506.3</v>
      </c>
      <c r="G2">
        <f>356*30/100</f>
        <v>106.8</v>
      </c>
      <c r="H2">
        <v>0</v>
      </c>
      <c r="I2">
        <v>0</v>
      </c>
      <c r="J2">
        <f>216.9*30/100</f>
        <v>65.069999999999993</v>
      </c>
      <c r="K2">
        <v>0</v>
      </c>
      <c r="L2">
        <f>69.1*30/100</f>
        <v>20.73</v>
      </c>
      <c r="M2">
        <f>216.9*30/100</f>
        <v>65.069999999999993</v>
      </c>
      <c r="N2">
        <v>0</v>
      </c>
      <c r="O2">
        <v>0</v>
      </c>
      <c r="P2">
        <f>216.9*30/100</f>
        <v>65.069999999999993</v>
      </c>
      <c r="Q2">
        <v>0</v>
      </c>
      <c r="R2">
        <v>0</v>
      </c>
      <c r="S2">
        <f>P2*0.8</f>
        <v>52.055999999999997</v>
      </c>
      <c r="T2">
        <v>0</v>
      </c>
      <c r="U2">
        <v>0</v>
      </c>
    </row>
    <row r="3" spans="1:21" x14ac:dyDescent="0.35">
      <c r="A3" t="s">
        <v>21</v>
      </c>
      <c r="B3">
        <v>836.1</v>
      </c>
      <c r="C3">
        <v>795.3</v>
      </c>
      <c r="D3">
        <v>756.6</v>
      </c>
      <c r="E3">
        <v>639.29999999999995</v>
      </c>
      <c r="F3">
        <v>503.9</v>
      </c>
      <c r="G3">
        <f t="shared" ref="G3:G37" si="0">356*30/100</f>
        <v>106.8</v>
      </c>
      <c r="H3">
        <v>0</v>
      </c>
      <c r="I3">
        <v>0</v>
      </c>
      <c r="J3">
        <f t="shared" ref="J3:J7" si="1">216.9*30/100</f>
        <v>65.069999999999993</v>
      </c>
      <c r="K3">
        <v>0</v>
      </c>
      <c r="L3">
        <f t="shared" ref="L3:L7" si="2">69.1*30/100</f>
        <v>20.73</v>
      </c>
      <c r="M3">
        <f t="shared" ref="M3:M7" si="3">216.9*30/100</f>
        <v>65.069999999999993</v>
      </c>
      <c r="N3">
        <v>0</v>
      </c>
      <c r="O3">
        <v>0</v>
      </c>
      <c r="P3">
        <f t="shared" ref="P3:P7" si="4">216.9*30/100</f>
        <v>65.069999999999993</v>
      </c>
      <c r="Q3">
        <v>0</v>
      </c>
      <c r="R3">
        <v>0</v>
      </c>
      <c r="S3">
        <f t="shared" ref="S3:S37" si="5">P3*0.8</f>
        <v>52.055999999999997</v>
      </c>
      <c r="T3">
        <v>0</v>
      </c>
      <c r="U3">
        <v>0</v>
      </c>
    </row>
    <row r="4" spans="1:21" x14ac:dyDescent="0.35">
      <c r="A4" t="s">
        <v>22</v>
      </c>
      <c r="B4">
        <v>810.1</v>
      </c>
      <c r="C4">
        <v>768.7</v>
      </c>
      <c r="D4">
        <v>735.2</v>
      </c>
      <c r="E4">
        <v>640.70000000000005</v>
      </c>
      <c r="F4">
        <v>488.6</v>
      </c>
      <c r="G4">
        <f t="shared" si="0"/>
        <v>106.8</v>
      </c>
      <c r="H4">
        <v>0</v>
      </c>
      <c r="I4">
        <v>0</v>
      </c>
      <c r="J4">
        <f t="shared" si="1"/>
        <v>65.069999999999993</v>
      </c>
      <c r="K4">
        <v>0</v>
      </c>
      <c r="L4">
        <f t="shared" si="2"/>
        <v>20.73</v>
      </c>
      <c r="M4">
        <f t="shared" si="3"/>
        <v>65.069999999999993</v>
      </c>
      <c r="N4">
        <v>0</v>
      </c>
      <c r="O4">
        <v>0</v>
      </c>
      <c r="P4">
        <f t="shared" si="4"/>
        <v>65.069999999999993</v>
      </c>
      <c r="Q4">
        <v>0</v>
      </c>
      <c r="R4">
        <v>0</v>
      </c>
      <c r="S4">
        <f t="shared" si="5"/>
        <v>52.055999999999997</v>
      </c>
      <c r="T4">
        <v>0</v>
      </c>
      <c r="U4">
        <v>0</v>
      </c>
    </row>
    <row r="5" spans="1:21" x14ac:dyDescent="0.35">
      <c r="A5" t="s">
        <v>23</v>
      </c>
      <c r="B5">
        <v>776.7</v>
      </c>
      <c r="C5">
        <v>734.5</v>
      </c>
      <c r="D5">
        <v>703.7</v>
      </c>
      <c r="E5">
        <v>639.79999999999995</v>
      </c>
      <c r="F5">
        <v>473.4</v>
      </c>
      <c r="G5">
        <f t="shared" si="0"/>
        <v>106.8</v>
      </c>
      <c r="H5">
        <v>0</v>
      </c>
      <c r="I5">
        <v>0</v>
      </c>
      <c r="J5">
        <f t="shared" si="1"/>
        <v>65.069999999999993</v>
      </c>
      <c r="K5">
        <v>0</v>
      </c>
      <c r="L5">
        <f t="shared" si="2"/>
        <v>20.73</v>
      </c>
      <c r="M5">
        <f t="shared" si="3"/>
        <v>65.069999999999993</v>
      </c>
      <c r="N5">
        <v>0</v>
      </c>
      <c r="O5">
        <v>0</v>
      </c>
      <c r="P5">
        <f t="shared" si="4"/>
        <v>65.069999999999993</v>
      </c>
      <c r="Q5">
        <v>0</v>
      </c>
      <c r="R5">
        <v>0</v>
      </c>
      <c r="S5">
        <f t="shared" si="5"/>
        <v>52.055999999999997</v>
      </c>
      <c r="T5">
        <v>0</v>
      </c>
      <c r="U5">
        <v>0</v>
      </c>
    </row>
    <row r="6" spans="1:21" x14ac:dyDescent="0.35">
      <c r="A6" t="s">
        <v>24</v>
      </c>
      <c r="B6">
        <v>771.1</v>
      </c>
      <c r="C6">
        <v>729.1</v>
      </c>
      <c r="D6">
        <v>686.8</v>
      </c>
      <c r="E6">
        <v>639.79999999999995</v>
      </c>
      <c r="F6">
        <v>459.3</v>
      </c>
      <c r="G6">
        <f t="shared" si="0"/>
        <v>106.8</v>
      </c>
      <c r="H6">
        <v>0</v>
      </c>
      <c r="I6">
        <v>0</v>
      </c>
      <c r="J6">
        <f t="shared" si="1"/>
        <v>65.069999999999993</v>
      </c>
      <c r="K6">
        <v>0</v>
      </c>
      <c r="L6">
        <f t="shared" si="2"/>
        <v>20.73</v>
      </c>
      <c r="M6">
        <f t="shared" si="3"/>
        <v>65.069999999999993</v>
      </c>
      <c r="N6">
        <v>0</v>
      </c>
      <c r="O6">
        <v>0</v>
      </c>
      <c r="P6">
        <f t="shared" si="4"/>
        <v>65.069999999999993</v>
      </c>
      <c r="Q6">
        <v>0</v>
      </c>
      <c r="R6">
        <v>0</v>
      </c>
      <c r="S6">
        <f t="shared" si="5"/>
        <v>52.055999999999997</v>
      </c>
      <c r="T6">
        <v>0</v>
      </c>
      <c r="U6">
        <v>0</v>
      </c>
    </row>
    <row r="7" spans="1:21" x14ac:dyDescent="0.35">
      <c r="A7" t="s">
        <v>25</v>
      </c>
      <c r="B7">
        <v>771.1</v>
      </c>
      <c r="C7">
        <v>729.1</v>
      </c>
      <c r="D7">
        <v>686.8</v>
      </c>
      <c r="E7">
        <v>639.79999999999995</v>
      </c>
      <c r="F7">
        <v>459.3</v>
      </c>
      <c r="G7">
        <f t="shared" si="0"/>
        <v>106.8</v>
      </c>
      <c r="H7">
        <v>0</v>
      </c>
      <c r="I7">
        <v>0</v>
      </c>
      <c r="J7">
        <f t="shared" si="1"/>
        <v>65.069999999999993</v>
      </c>
      <c r="K7">
        <v>0</v>
      </c>
      <c r="L7">
        <f t="shared" si="2"/>
        <v>20.73</v>
      </c>
      <c r="M7">
        <f t="shared" si="3"/>
        <v>65.069999999999993</v>
      </c>
      <c r="N7">
        <v>0</v>
      </c>
      <c r="O7">
        <v>0</v>
      </c>
      <c r="P7">
        <f t="shared" si="4"/>
        <v>65.069999999999993</v>
      </c>
      <c r="Q7">
        <v>0</v>
      </c>
      <c r="R7">
        <v>0</v>
      </c>
      <c r="S7">
        <f t="shared" si="5"/>
        <v>52.055999999999997</v>
      </c>
      <c r="T7">
        <v>0</v>
      </c>
      <c r="U7">
        <v>0</v>
      </c>
    </row>
    <row r="8" spans="1:21" x14ac:dyDescent="0.35">
      <c r="A8" t="s">
        <v>26</v>
      </c>
      <c r="B8">
        <v>771.1</v>
      </c>
      <c r="C8">
        <v>729.1</v>
      </c>
      <c r="D8">
        <v>686.8</v>
      </c>
      <c r="E8">
        <v>639.79999999999995</v>
      </c>
      <c r="F8">
        <v>459.3</v>
      </c>
      <c r="G8">
        <f t="shared" si="0"/>
        <v>106.8</v>
      </c>
      <c r="H8">
        <f>41.3*30/100</f>
        <v>12.39</v>
      </c>
      <c r="I8">
        <v>0</v>
      </c>
      <c r="J8">
        <f>209.5*30/100</f>
        <v>62.85</v>
      </c>
      <c r="K8">
        <f>43.7*30/100</f>
        <v>13.11</v>
      </c>
      <c r="L8">
        <f>34.7*30/100</f>
        <v>10.41</v>
      </c>
      <c r="M8">
        <f>209.5*30/100</f>
        <v>62.85</v>
      </c>
      <c r="N8">
        <f>43.7*30/100</f>
        <v>13.11</v>
      </c>
      <c r="O8">
        <v>0</v>
      </c>
      <c r="P8">
        <f>209.5*30/100</f>
        <v>62.85</v>
      </c>
      <c r="Q8">
        <f>69.92*30/100</f>
        <v>20.975999999999999</v>
      </c>
      <c r="R8">
        <v>0</v>
      </c>
      <c r="S8">
        <f t="shared" si="5"/>
        <v>50.28</v>
      </c>
      <c r="T8">
        <f>69.92*30/100</f>
        <v>20.975999999999999</v>
      </c>
      <c r="U8">
        <v>0</v>
      </c>
    </row>
    <row r="9" spans="1:21" x14ac:dyDescent="0.35">
      <c r="A9" t="s">
        <v>27</v>
      </c>
      <c r="B9">
        <v>788.9</v>
      </c>
      <c r="C9">
        <v>729.1</v>
      </c>
      <c r="D9">
        <v>686.8</v>
      </c>
      <c r="E9">
        <v>637</v>
      </c>
      <c r="F9">
        <v>459.3</v>
      </c>
      <c r="G9">
        <f t="shared" si="0"/>
        <v>106.8</v>
      </c>
      <c r="H9">
        <f>201.6*30/100</f>
        <v>60.48</v>
      </c>
      <c r="I9">
        <v>0</v>
      </c>
      <c r="J9">
        <f t="shared" ref="J9:J13" si="6">209.5*30/100</f>
        <v>62.85</v>
      </c>
      <c r="K9">
        <f>211.3*30/100</f>
        <v>63.39</v>
      </c>
      <c r="L9">
        <v>0</v>
      </c>
      <c r="M9">
        <f t="shared" ref="M9:M13" si="7">209.5*30/100</f>
        <v>62.85</v>
      </c>
      <c r="N9">
        <f>211.3*30/100</f>
        <v>63.39</v>
      </c>
      <c r="O9">
        <v>0</v>
      </c>
      <c r="P9">
        <f t="shared" ref="P9:P13" si="8">209.5*30/100</f>
        <v>62.85</v>
      </c>
      <c r="Q9">
        <f>169.04*30/100</f>
        <v>50.711999999999996</v>
      </c>
      <c r="R9">
        <v>0</v>
      </c>
      <c r="S9">
        <f t="shared" si="5"/>
        <v>50.28</v>
      </c>
      <c r="T9">
        <f>169.04*30/100</f>
        <v>50.711999999999996</v>
      </c>
      <c r="U9">
        <v>0</v>
      </c>
    </row>
    <row r="10" spans="1:21" x14ac:dyDescent="0.35">
      <c r="A10" t="s">
        <v>28</v>
      </c>
      <c r="B10">
        <v>752.5</v>
      </c>
      <c r="C10">
        <v>689.1</v>
      </c>
      <c r="D10">
        <v>635.6</v>
      </c>
      <c r="E10">
        <v>562.1</v>
      </c>
      <c r="F10">
        <v>440</v>
      </c>
      <c r="G10">
        <f t="shared" si="0"/>
        <v>106.8</v>
      </c>
      <c r="H10">
        <f>313.7*30/100</f>
        <v>94.11</v>
      </c>
      <c r="I10">
        <v>0</v>
      </c>
      <c r="J10">
        <f t="shared" si="6"/>
        <v>62.85</v>
      </c>
      <c r="K10">
        <f>332*30/100</f>
        <v>99.6</v>
      </c>
      <c r="L10">
        <v>0</v>
      </c>
      <c r="M10">
        <f t="shared" si="7"/>
        <v>62.85</v>
      </c>
      <c r="N10">
        <f>332*30/100</f>
        <v>99.6</v>
      </c>
      <c r="O10">
        <v>0</v>
      </c>
      <c r="P10">
        <f t="shared" si="8"/>
        <v>62.85</v>
      </c>
      <c r="Q10">
        <f>265.6*30/100</f>
        <v>79.680000000000007</v>
      </c>
      <c r="R10">
        <v>0</v>
      </c>
      <c r="S10">
        <f t="shared" si="5"/>
        <v>50.28</v>
      </c>
      <c r="T10">
        <f>265.6*30/100</f>
        <v>79.680000000000007</v>
      </c>
      <c r="U10">
        <v>0</v>
      </c>
    </row>
    <row r="11" spans="1:21" x14ac:dyDescent="0.35">
      <c r="A11" t="s">
        <v>29</v>
      </c>
      <c r="B11">
        <v>721.3</v>
      </c>
      <c r="C11">
        <v>632.9</v>
      </c>
      <c r="D11">
        <v>559.4</v>
      </c>
      <c r="E11">
        <v>486</v>
      </c>
      <c r="F11">
        <v>422.7</v>
      </c>
      <c r="G11">
        <f t="shared" si="0"/>
        <v>106.8</v>
      </c>
      <c r="H11">
        <f>123.6*30/100</f>
        <v>37.08</v>
      </c>
      <c r="I11">
        <v>0</v>
      </c>
      <c r="J11">
        <f t="shared" si="6"/>
        <v>62.85</v>
      </c>
      <c r="K11">
        <f>130.3*30/100</f>
        <v>39.090000000000003</v>
      </c>
      <c r="L11">
        <v>0</v>
      </c>
      <c r="M11">
        <f t="shared" si="7"/>
        <v>62.85</v>
      </c>
      <c r="N11">
        <f>130.3*30/100</f>
        <v>39.090000000000003</v>
      </c>
      <c r="O11">
        <v>0</v>
      </c>
      <c r="P11">
        <f t="shared" si="8"/>
        <v>62.85</v>
      </c>
      <c r="Q11">
        <f>91.28*30/100</f>
        <v>27.384</v>
      </c>
      <c r="R11">
        <v>0</v>
      </c>
      <c r="S11">
        <f t="shared" si="5"/>
        <v>50.28</v>
      </c>
      <c r="T11">
        <f>91.28*30/100</f>
        <v>27.384</v>
      </c>
      <c r="U11">
        <v>0</v>
      </c>
    </row>
    <row r="12" spans="1:21" x14ac:dyDescent="0.35">
      <c r="A12" t="s">
        <v>30</v>
      </c>
      <c r="B12">
        <v>750.7</v>
      </c>
      <c r="C12">
        <v>675</v>
      </c>
      <c r="D12">
        <v>614.1</v>
      </c>
      <c r="E12">
        <v>531.29999999999995</v>
      </c>
      <c r="F12">
        <v>420.7</v>
      </c>
      <c r="G12">
        <f t="shared" si="0"/>
        <v>106.8</v>
      </c>
      <c r="H12">
        <f>260*30/100</f>
        <v>78</v>
      </c>
      <c r="I12">
        <v>0</v>
      </c>
      <c r="J12">
        <f t="shared" si="6"/>
        <v>62.85</v>
      </c>
      <c r="K12">
        <f>278.7*30/100</f>
        <v>83.61</v>
      </c>
      <c r="L12">
        <v>0</v>
      </c>
      <c r="M12">
        <f t="shared" si="7"/>
        <v>62.85</v>
      </c>
      <c r="N12">
        <f>278.7*30/100</f>
        <v>83.61</v>
      </c>
      <c r="O12">
        <v>0</v>
      </c>
      <c r="P12">
        <f t="shared" si="8"/>
        <v>62.85</v>
      </c>
      <c r="Q12">
        <f>195.16*30/100</f>
        <v>58.548000000000002</v>
      </c>
      <c r="R12">
        <v>0</v>
      </c>
      <c r="S12">
        <f t="shared" si="5"/>
        <v>50.28</v>
      </c>
      <c r="T12">
        <f>195.16*30/100</f>
        <v>58.548000000000002</v>
      </c>
      <c r="U12">
        <v>0</v>
      </c>
    </row>
    <row r="13" spans="1:21" x14ac:dyDescent="0.35">
      <c r="A13" t="s">
        <v>31</v>
      </c>
      <c r="B13">
        <v>839.2</v>
      </c>
      <c r="C13">
        <v>783.5</v>
      </c>
      <c r="D13">
        <v>717.7</v>
      </c>
      <c r="E13">
        <v>610.4</v>
      </c>
      <c r="F13">
        <v>443.6</v>
      </c>
      <c r="G13">
        <f t="shared" si="0"/>
        <v>106.8</v>
      </c>
      <c r="H13">
        <f>137*30/100</f>
        <v>41.1</v>
      </c>
      <c r="I13">
        <v>0</v>
      </c>
      <c r="J13">
        <f t="shared" si="6"/>
        <v>62.85</v>
      </c>
      <c r="K13">
        <f>146.7*30/100</f>
        <v>44.01</v>
      </c>
      <c r="L13">
        <v>0</v>
      </c>
      <c r="M13">
        <f t="shared" si="7"/>
        <v>62.85</v>
      </c>
      <c r="N13">
        <f>146.7*30/100</f>
        <v>44.01</v>
      </c>
      <c r="O13">
        <v>0</v>
      </c>
      <c r="P13">
        <f t="shared" si="8"/>
        <v>62.85</v>
      </c>
      <c r="Q13">
        <f>102.69*30/100</f>
        <v>30.806999999999999</v>
      </c>
      <c r="R13">
        <v>0</v>
      </c>
      <c r="S13">
        <f t="shared" si="5"/>
        <v>50.28</v>
      </c>
      <c r="T13">
        <f>102.69*30/100</f>
        <v>30.806999999999999</v>
      </c>
      <c r="U13">
        <v>0</v>
      </c>
    </row>
    <row r="14" spans="1:21" x14ac:dyDescent="0.35">
      <c r="A14" t="s">
        <v>20</v>
      </c>
      <c r="B14">
        <v>851.4</v>
      </c>
      <c r="C14">
        <v>811.8</v>
      </c>
      <c r="D14">
        <v>768.1</v>
      </c>
      <c r="E14">
        <v>640.79999999999995</v>
      </c>
      <c r="F14">
        <v>506.3</v>
      </c>
      <c r="G14">
        <f t="shared" si="0"/>
        <v>106.8</v>
      </c>
      <c r="H14">
        <v>0</v>
      </c>
      <c r="I14">
        <v>0</v>
      </c>
      <c r="J14">
        <f>216.9*30/100</f>
        <v>65.069999999999993</v>
      </c>
      <c r="K14">
        <v>0</v>
      </c>
      <c r="L14">
        <f>69.1*30/100</f>
        <v>20.73</v>
      </c>
      <c r="M14">
        <f>216.9*30/100</f>
        <v>65.069999999999993</v>
      </c>
      <c r="N14">
        <v>0</v>
      </c>
      <c r="O14">
        <v>0</v>
      </c>
      <c r="P14">
        <f>216.9*30/100</f>
        <v>65.069999999999993</v>
      </c>
      <c r="Q14">
        <v>0</v>
      </c>
      <c r="R14">
        <v>0</v>
      </c>
      <c r="S14">
        <f t="shared" si="5"/>
        <v>52.055999999999997</v>
      </c>
      <c r="T14">
        <v>0</v>
      </c>
      <c r="U14">
        <v>0</v>
      </c>
    </row>
    <row r="15" spans="1:21" x14ac:dyDescent="0.35">
      <c r="A15" t="s">
        <v>21</v>
      </c>
      <c r="B15">
        <v>836.1</v>
      </c>
      <c r="C15">
        <v>795.3</v>
      </c>
      <c r="D15">
        <v>756.6</v>
      </c>
      <c r="E15">
        <v>639.29999999999995</v>
      </c>
      <c r="F15">
        <v>503.9</v>
      </c>
      <c r="G15">
        <f t="shared" si="0"/>
        <v>106.8</v>
      </c>
      <c r="H15">
        <v>0</v>
      </c>
      <c r="I15">
        <v>0</v>
      </c>
      <c r="J15">
        <f t="shared" ref="J15:J19" si="9">216.9*30/100</f>
        <v>65.069999999999993</v>
      </c>
      <c r="K15">
        <v>0</v>
      </c>
      <c r="L15">
        <f t="shared" ref="L15:L19" si="10">69.1*30/100</f>
        <v>20.73</v>
      </c>
      <c r="M15">
        <f t="shared" ref="M15:M19" si="11">216.9*30/100</f>
        <v>65.069999999999993</v>
      </c>
      <c r="N15">
        <v>0</v>
      </c>
      <c r="O15">
        <v>0</v>
      </c>
      <c r="P15">
        <f t="shared" ref="P15:P19" si="12">216.9*30/100</f>
        <v>65.069999999999993</v>
      </c>
      <c r="Q15">
        <v>0</v>
      </c>
      <c r="R15">
        <v>0</v>
      </c>
      <c r="S15">
        <f t="shared" si="5"/>
        <v>52.055999999999997</v>
      </c>
      <c r="T15">
        <v>0</v>
      </c>
      <c r="U15">
        <v>0</v>
      </c>
    </row>
    <row r="16" spans="1:21" x14ac:dyDescent="0.35">
      <c r="A16" t="s">
        <v>22</v>
      </c>
      <c r="B16">
        <v>810.1</v>
      </c>
      <c r="C16">
        <v>768.7</v>
      </c>
      <c r="D16">
        <v>735.2</v>
      </c>
      <c r="E16">
        <v>640.70000000000005</v>
      </c>
      <c r="F16">
        <v>488.6</v>
      </c>
      <c r="G16">
        <f t="shared" si="0"/>
        <v>106.8</v>
      </c>
      <c r="H16">
        <v>0</v>
      </c>
      <c r="I16">
        <v>0</v>
      </c>
      <c r="J16">
        <f t="shared" si="9"/>
        <v>65.069999999999993</v>
      </c>
      <c r="K16">
        <v>0</v>
      </c>
      <c r="L16">
        <f t="shared" si="10"/>
        <v>20.73</v>
      </c>
      <c r="M16">
        <f t="shared" si="11"/>
        <v>65.069999999999993</v>
      </c>
      <c r="N16">
        <v>0</v>
      </c>
      <c r="O16">
        <v>0</v>
      </c>
      <c r="P16">
        <f t="shared" si="12"/>
        <v>65.069999999999993</v>
      </c>
      <c r="Q16">
        <v>0</v>
      </c>
      <c r="R16">
        <v>0</v>
      </c>
      <c r="S16">
        <f t="shared" si="5"/>
        <v>52.055999999999997</v>
      </c>
      <c r="T16">
        <v>0</v>
      </c>
      <c r="U16">
        <v>0</v>
      </c>
    </row>
    <row r="17" spans="1:21" x14ac:dyDescent="0.35">
      <c r="A17" t="s">
        <v>23</v>
      </c>
      <c r="B17">
        <v>776.7</v>
      </c>
      <c r="C17">
        <v>734.5</v>
      </c>
      <c r="D17">
        <v>703.7</v>
      </c>
      <c r="E17">
        <v>639.79999999999995</v>
      </c>
      <c r="F17">
        <v>473.4</v>
      </c>
      <c r="G17">
        <f t="shared" si="0"/>
        <v>106.8</v>
      </c>
      <c r="H17">
        <v>0</v>
      </c>
      <c r="I17">
        <v>0</v>
      </c>
      <c r="J17">
        <f t="shared" si="9"/>
        <v>65.069999999999993</v>
      </c>
      <c r="K17">
        <v>0</v>
      </c>
      <c r="L17">
        <f t="shared" si="10"/>
        <v>20.73</v>
      </c>
      <c r="M17">
        <f t="shared" si="11"/>
        <v>65.069999999999993</v>
      </c>
      <c r="N17">
        <v>0</v>
      </c>
      <c r="O17">
        <v>0</v>
      </c>
      <c r="P17">
        <f t="shared" si="12"/>
        <v>65.069999999999993</v>
      </c>
      <c r="Q17">
        <v>0</v>
      </c>
      <c r="R17">
        <v>0</v>
      </c>
      <c r="S17">
        <f t="shared" si="5"/>
        <v>52.055999999999997</v>
      </c>
      <c r="T17">
        <v>0</v>
      </c>
      <c r="U17">
        <v>0</v>
      </c>
    </row>
    <row r="18" spans="1:21" x14ac:dyDescent="0.35">
      <c r="A18" t="s">
        <v>24</v>
      </c>
      <c r="B18">
        <v>771.1</v>
      </c>
      <c r="C18">
        <v>729.1</v>
      </c>
      <c r="D18">
        <v>686.8</v>
      </c>
      <c r="E18">
        <v>639.79999999999995</v>
      </c>
      <c r="F18">
        <v>459.3</v>
      </c>
      <c r="G18">
        <f t="shared" si="0"/>
        <v>106.8</v>
      </c>
      <c r="H18">
        <v>0</v>
      </c>
      <c r="I18">
        <v>0</v>
      </c>
      <c r="J18">
        <f t="shared" si="9"/>
        <v>65.069999999999993</v>
      </c>
      <c r="K18">
        <v>0</v>
      </c>
      <c r="L18">
        <f t="shared" si="10"/>
        <v>20.73</v>
      </c>
      <c r="M18">
        <f t="shared" si="11"/>
        <v>65.069999999999993</v>
      </c>
      <c r="N18">
        <v>0</v>
      </c>
      <c r="O18">
        <v>0</v>
      </c>
      <c r="P18">
        <f t="shared" si="12"/>
        <v>65.069999999999993</v>
      </c>
      <c r="Q18">
        <v>0</v>
      </c>
      <c r="R18">
        <v>0</v>
      </c>
      <c r="S18">
        <f t="shared" si="5"/>
        <v>52.055999999999997</v>
      </c>
      <c r="T18">
        <v>0</v>
      </c>
      <c r="U18">
        <v>0</v>
      </c>
    </row>
    <row r="19" spans="1:21" x14ac:dyDescent="0.35">
      <c r="A19" t="s">
        <v>25</v>
      </c>
      <c r="B19">
        <v>771.1</v>
      </c>
      <c r="C19">
        <v>729.1</v>
      </c>
      <c r="D19">
        <v>686.8</v>
      </c>
      <c r="E19">
        <v>639.79999999999995</v>
      </c>
      <c r="F19">
        <v>459.3</v>
      </c>
      <c r="G19">
        <f t="shared" si="0"/>
        <v>106.8</v>
      </c>
      <c r="H19">
        <v>0</v>
      </c>
      <c r="I19">
        <v>0</v>
      </c>
      <c r="J19">
        <f t="shared" si="9"/>
        <v>65.069999999999993</v>
      </c>
      <c r="K19">
        <v>0</v>
      </c>
      <c r="L19">
        <f t="shared" si="10"/>
        <v>20.73</v>
      </c>
      <c r="M19">
        <f t="shared" si="11"/>
        <v>65.069999999999993</v>
      </c>
      <c r="N19">
        <v>0</v>
      </c>
      <c r="O19">
        <v>0</v>
      </c>
      <c r="P19">
        <f t="shared" si="12"/>
        <v>65.069999999999993</v>
      </c>
      <c r="Q19">
        <v>0</v>
      </c>
      <c r="R19">
        <v>0</v>
      </c>
      <c r="S19">
        <f t="shared" si="5"/>
        <v>52.055999999999997</v>
      </c>
      <c r="T19">
        <v>0</v>
      </c>
      <c r="U19">
        <v>0</v>
      </c>
    </row>
    <row r="20" spans="1:21" x14ac:dyDescent="0.35">
      <c r="A20" t="s">
        <v>26</v>
      </c>
      <c r="B20">
        <v>771.1</v>
      </c>
      <c r="C20">
        <v>729.1</v>
      </c>
      <c r="D20">
        <v>686.8</v>
      </c>
      <c r="E20">
        <v>639.79999999999995</v>
      </c>
      <c r="F20">
        <v>459.3</v>
      </c>
      <c r="G20">
        <f t="shared" si="0"/>
        <v>106.8</v>
      </c>
      <c r="H20">
        <f>41.3*30/100</f>
        <v>12.39</v>
      </c>
      <c r="I20">
        <v>0</v>
      </c>
      <c r="J20">
        <f>209.5*30/100</f>
        <v>62.85</v>
      </c>
      <c r="K20">
        <f>43.7*30/100</f>
        <v>13.11</v>
      </c>
      <c r="L20">
        <f>34.7*30/100</f>
        <v>10.41</v>
      </c>
      <c r="M20">
        <f>209.5*30/100</f>
        <v>62.85</v>
      </c>
      <c r="N20">
        <f>43.7*30/100</f>
        <v>13.11</v>
      </c>
      <c r="O20">
        <v>0</v>
      </c>
      <c r="P20">
        <f>209.5*30/100</f>
        <v>62.85</v>
      </c>
      <c r="Q20">
        <f>69.92*30/100</f>
        <v>20.975999999999999</v>
      </c>
      <c r="R20">
        <v>0</v>
      </c>
      <c r="S20">
        <f t="shared" si="5"/>
        <v>50.28</v>
      </c>
      <c r="T20">
        <f>69.92*30/100</f>
        <v>20.975999999999999</v>
      </c>
      <c r="U20">
        <v>0</v>
      </c>
    </row>
    <row r="21" spans="1:21" x14ac:dyDescent="0.35">
      <c r="A21" t="s">
        <v>27</v>
      </c>
      <c r="B21">
        <v>788.9</v>
      </c>
      <c r="C21">
        <v>729.1</v>
      </c>
      <c r="D21">
        <v>686.8</v>
      </c>
      <c r="E21">
        <v>637</v>
      </c>
      <c r="F21">
        <v>459.3</v>
      </c>
      <c r="G21">
        <f t="shared" si="0"/>
        <v>106.8</v>
      </c>
      <c r="H21">
        <f>201.6*30/100</f>
        <v>60.48</v>
      </c>
      <c r="I21">
        <v>0</v>
      </c>
      <c r="J21">
        <f t="shared" ref="J21:J25" si="13">209.5*30/100</f>
        <v>62.85</v>
      </c>
      <c r="K21">
        <f>211.3*30/100</f>
        <v>63.39</v>
      </c>
      <c r="L21">
        <v>0</v>
      </c>
      <c r="M21">
        <f t="shared" ref="M21:M25" si="14">209.5*30/100</f>
        <v>62.85</v>
      </c>
      <c r="N21">
        <f>211.3*30/100</f>
        <v>63.39</v>
      </c>
      <c r="O21">
        <v>0</v>
      </c>
      <c r="P21">
        <f t="shared" ref="P21:P25" si="15">209.5*30/100</f>
        <v>62.85</v>
      </c>
      <c r="Q21">
        <f>169.04*30/100</f>
        <v>50.711999999999996</v>
      </c>
      <c r="R21">
        <v>0</v>
      </c>
      <c r="S21">
        <f t="shared" si="5"/>
        <v>50.28</v>
      </c>
      <c r="T21">
        <f>169.04*30/100</f>
        <v>50.711999999999996</v>
      </c>
      <c r="U21">
        <v>0</v>
      </c>
    </row>
    <row r="22" spans="1:21" x14ac:dyDescent="0.35">
      <c r="A22" t="s">
        <v>28</v>
      </c>
      <c r="B22">
        <v>752.5</v>
      </c>
      <c r="C22">
        <v>689.1</v>
      </c>
      <c r="D22">
        <v>635.6</v>
      </c>
      <c r="E22">
        <v>562.1</v>
      </c>
      <c r="F22">
        <v>440</v>
      </c>
      <c r="G22">
        <f t="shared" si="0"/>
        <v>106.8</v>
      </c>
      <c r="H22">
        <f>313.7*30/100</f>
        <v>94.11</v>
      </c>
      <c r="I22">
        <v>0</v>
      </c>
      <c r="J22">
        <f t="shared" si="13"/>
        <v>62.85</v>
      </c>
      <c r="K22">
        <f>332*30/100</f>
        <v>99.6</v>
      </c>
      <c r="L22">
        <v>0</v>
      </c>
      <c r="M22">
        <f t="shared" si="14"/>
        <v>62.85</v>
      </c>
      <c r="N22">
        <f>332*30/100</f>
        <v>99.6</v>
      </c>
      <c r="O22">
        <v>0</v>
      </c>
      <c r="P22">
        <f t="shared" si="15"/>
        <v>62.85</v>
      </c>
      <c r="Q22">
        <f>265.6*30/100</f>
        <v>79.680000000000007</v>
      </c>
      <c r="R22">
        <v>0</v>
      </c>
      <c r="S22">
        <f t="shared" si="5"/>
        <v>50.28</v>
      </c>
      <c r="T22">
        <f>265.6*30/100</f>
        <v>79.680000000000007</v>
      </c>
      <c r="U22">
        <v>0</v>
      </c>
    </row>
    <row r="23" spans="1:21" x14ac:dyDescent="0.35">
      <c r="A23" t="s">
        <v>29</v>
      </c>
      <c r="B23">
        <v>721.3</v>
      </c>
      <c r="C23">
        <v>632.9</v>
      </c>
      <c r="D23">
        <v>559.4</v>
      </c>
      <c r="E23">
        <v>486</v>
      </c>
      <c r="F23">
        <v>422.7</v>
      </c>
      <c r="G23">
        <f t="shared" si="0"/>
        <v>106.8</v>
      </c>
      <c r="H23">
        <f>123.6*30/100</f>
        <v>37.08</v>
      </c>
      <c r="I23">
        <v>0</v>
      </c>
      <c r="J23">
        <f t="shared" si="13"/>
        <v>62.85</v>
      </c>
      <c r="K23">
        <f>130.3*30/100</f>
        <v>39.090000000000003</v>
      </c>
      <c r="L23">
        <v>0</v>
      </c>
      <c r="M23">
        <f t="shared" si="14"/>
        <v>62.85</v>
      </c>
      <c r="N23">
        <f>130.3*30/100</f>
        <v>39.090000000000003</v>
      </c>
      <c r="O23">
        <v>0</v>
      </c>
      <c r="P23">
        <f t="shared" si="15"/>
        <v>62.85</v>
      </c>
      <c r="Q23">
        <f>91.28*30/100</f>
        <v>27.384</v>
      </c>
      <c r="R23">
        <v>0</v>
      </c>
      <c r="S23">
        <f t="shared" si="5"/>
        <v>50.28</v>
      </c>
      <c r="T23">
        <f>91.28*30/100</f>
        <v>27.384</v>
      </c>
      <c r="U23">
        <v>0</v>
      </c>
    </row>
    <row r="24" spans="1:21" x14ac:dyDescent="0.35">
      <c r="A24" t="s">
        <v>30</v>
      </c>
      <c r="B24">
        <v>750.7</v>
      </c>
      <c r="C24">
        <v>675</v>
      </c>
      <c r="D24">
        <v>614.1</v>
      </c>
      <c r="E24">
        <v>531.29999999999995</v>
      </c>
      <c r="F24">
        <v>420.7</v>
      </c>
      <c r="G24">
        <f t="shared" si="0"/>
        <v>106.8</v>
      </c>
      <c r="H24">
        <f>260*30/100</f>
        <v>78</v>
      </c>
      <c r="I24">
        <v>0</v>
      </c>
      <c r="J24">
        <f t="shared" si="13"/>
        <v>62.85</v>
      </c>
      <c r="K24">
        <f>278.7*30/100</f>
        <v>83.61</v>
      </c>
      <c r="L24">
        <v>0</v>
      </c>
      <c r="M24">
        <f t="shared" si="14"/>
        <v>62.85</v>
      </c>
      <c r="N24">
        <f>278.7*30/100</f>
        <v>83.61</v>
      </c>
      <c r="O24">
        <v>0</v>
      </c>
      <c r="P24">
        <f t="shared" si="15"/>
        <v>62.85</v>
      </c>
      <c r="Q24">
        <f>195.16*30/100</f>
        <v>58.548000000000002</v>
      </c>
      <c r="R24">
        <v>0</v>
      </c>
      <c r="S24">
        <f t="shared" si="5"/>
        <v>50.28</v>
      </c>
      <c r="T24">
        <f>195.16*30/100</f>
        <v>58.548000000000002</v>
      </c>
      <c r="U24">
        <v>0</v>
      </c>
    </row>
    <row r="25" spans="1:21" x14ac:dyDescent="0.35">
      <c r="A25" t="s">
        <v>31</v>
      </c>
      <c r="B25">
        <v>839.2</v>
      </c>
      <c r="C25">
        <v>783.5</v>
      </c>
      <c r="D25">
        <v>717.7</v>
      </c>
      <c r="E25">
        <v>610.4</v>
      </c>
      <c r="F25">
        <v>443.6</v>
      </c>
      <c r="G25">
        <f t="shared" si="0"/>
        <v>106.8</v>
      </c>
      <c r="H25">
        <f>137*30/100</f>
        <v>41.1</v>
      </c>
      <c r="I25">
        <v>0</v>
      </c>
      <c r="J25">
        <f t="shared" si="13"/>
        <v>62.85</v>
      </c>
      <c r="K25">
        <f>146.7*30/100</f>
        <v>44.01</v>
      </c>
      <c r="L25">
        <v>0</v>
      </c>
      <c r="M25">
        <f t="shared" si="14"/>
        <v>62.85</v>
      </c>
      <c r="N25">
        <f>146.7*30/100</f>
        <v>44.01</v>
      </c>
      <c r="O25">
        <v>0</v>
      </c>
      <c r="P25">
        <f t="shared" si="15"/>
        <v>62.85</v>
      </c>
      <c r="Q25">
        <f>102.69*30/100</f>
        <v>30.806999999999999</v>
      </c>
      <c r="R25">
        <v>0</v>
      </c>
      <c r="S25">
        <f t="shared" si="5"/>
        <v>50.28</v>
      </c>
      <c r="T25">
        <f>102.69*30/100</f>
        <v>30.806999999999999</v>
      </c>
      <c r="U25">
        <v>0</v>
      </c>
    </row>
    <row r="26" spans="1:21" x14ac:dyDescent="0.35">
      <c r="A26" t="s">
        <v>20</v>
      </c>
      <c r="B26">
        <v>851.4</v>
      </c>
      <c r="C26">
        <v>811.8</v>
      </c>
      <c r="D26">
        <v>768.1</v>
      </c>
      <c r="E26">
        <v>640.79999999999995</v>
      </c>
      <c r="F26">
        <v>506.3</v>
      </c>
      <c r="G26">
        <f t="shared" si="0"/>
        <v>106.8</v>
      </c>
      <c r="H26">
        <v>0</v>
      </c>
      <c r="I26">
        <v>0</v>
      </c>
      <c r="J26">
        <f>216.9*30/100</f>
        <v>65.069999999999993</v>
      </c>
      <c r="K26">
        <v>0</v>
      </c>
      <c r="L26">
        <f>69.1*30/100</f>
        <v>20.73</v>
      </c>
      <c r="M26">
        <f>216.9*30/100</f>
        <v>65.069999999999993</v>
      </c>
      <c r="N26">
        <v>0</v>
      </c>
      <c r="O26">
        <v>0</v>
      </c>
      <c r="P26">
        <f>216.9*30/100</f>
        <v>65.069999999999993</v>
      </c>
      <c r="Q26">
        <v>0</v>
      </c>
      <c r="R26">
        <v>0</v>
      </c>
      <c r="S26">
        <f t="shared" si="5"/>
        <v>52.055999999999997</v>
      </c>
      <c r="T26">
        <v>0</v>
      </c>
      <c r="U26">
        <v>0</v>
      </c>
    </row>
    <row r="27" spans="1:21" x14ac:dyDescent="0.35">
      <c r="A27" t="s">
        <v>21</v>
      </c>
      <c r="B27">
        <v>836.1</v>
      </c>
      <c r="C27">
        <v>795.3</v>
      </c>
      <c r="D27">
        <v>756.6</v>
      </c>
      <c r="E27">
        <v>639.29999999999995</v>
      </c>
      <c r="F27">
        <v>503.9</v>
      </c>
      <c r="G27">
        <f t="shared" si="0"/>
        <v>106.8</v>
      </c>
      <c r="H27">
        <v>0</v>
      </c>
      <c r="I27">
        <v>0</v>
      </c>
      <c r="J27">
        <f t="shared" ref="J27:J31" si="16">216.9*30/100</f>
        <v>65.069999999999993</v>
      </c>
      <c r="K27">
        <v>0</v>
      </c>
      <c r="L27">
        <f t="shared" ref="L27:L31" si="17">69.1*30/100</f>
        <v>20.73</v>
      </c>
      <c r="M27">
        <f t="shared" ref="M27:M31" si="18">216.9*30/100</f>
        <v>65.069999999999993</v>
      </c>
      <c r="N27">
        <v>0</v>
      </c>
      <c r="O27">
        <v>0</v>
      </c>
      <c r="P27">
        <f t="shared" ref="P27:P31" si="19">216.9*30/100</f>
        <v>65.069999999999993</v>
      </c>
      <c r="Q27">
        <v>0</v>
      </c>
      <c r="R27">
        <v>0</v>
      </c>
      <c r="S27">
        <f t="shared" si="5"/>
        <v>52.055999999999997</v>
      </c>
      <c r="T27">
        <v>0</v>
      </c>
      <c r="U27">
        <v>0</v>
      </c>
    </row>
    <row r="28" spans="1:21" x14ac:dyDescent="0.35">
      <c r="A28" t="s">
        <v>22</v>
      </c>
      <c r="B28">
        <v>810.1</v>
      </c>
      <c r="C28">
        <v>768.7</v>
      </c>
      <c r="D28">
        <v>735.2</v>
      </c>
      <c r="E28">
        <v>640.70000000000005</v>
      </c>
      <c r="F28">
        <v>488.6</v>
      </c>
      <c r="G28">
        <f t="shared" si="0"/>
        <v>106.8</v>
      </c>
      <c r="H28">
        <v>0</v>
      </c>
      <c r="I28">
        <v>0</v>
      </c>
      <c r="J28">
        <f t="shared" si="16"/>
        <v>65.069999999999993</v>
      </c>
      <c r="K28">
        <v>0</v>
      </c>
      <c r="L28">
        <f t="shared" si="17"/>
        <v>20.73</v>
      </c>
      <c r="M28">
        <f t="shared" si="18"/>
        <v>65.069999999999993</v>
      </c>
      <c r="N28">
        <v>0</v>
      </c>
      <c r="O28">
        <v>0</v>
      </c>
      <c r="P28">
        <f t="shared" si="19"/>
        <v>65.069999999999993</v>
      </c>
      <c r="Q28">
        <v>0</v>
      </c>
      <c r="R28">
        <v>0</v>
      </c>
      <c r="S28">
        <f t="shared" si="5"/>
        <v>52.055999999999997</v>
      </c>
      <c r="T28">
        <v>0</v>
      </c>
      <c r="U28">
        <v>0</v>
      </c>
    </row>
    <row r="29" spans="1:21" x14ac:dyDescent="0.35">
      <c r="A29" t="s">
        <v>23</v>
      </c>
      <c r="B29">
        <v>776.7</v>
      </c>
      <c r="C29">
        <v>734.5</v>
      </c>
      <c r="D29">
        <v>703.7</v>
      </c>
      <c r="E29">
        <v>639.79999999999995</v>
      </c>
      <c r="F29">
        <v>473.4</v>
      </c>
      <c r="G29">
        <f t="shared" si="0"/>
        <v>106.8</v>
      </c>
      <c r="H29">
        <v>0</v>
      </c>
      <c r="I29">
        <v>0</v>
      </c>
      <c r="J29">
        <f t="shared" si="16"/>
        <v>65.069999999999993</v>
      </c>
      <c r="K29">
        <v>0</v>
      </c>
      <c r="L29">
        <f t="shared" si="17"/>
        <v>20.73</v>
      </c>
      <c r="M29">
        <f t="shared" si="18"/>
        <v>65.069999999999993</v>
      </c>
      <c r="N29">
        <v>0</v>
      </c>
      <c r="O29">
        <v>0</v>
      </c>
      <c r="P29">
        <f t="shared" si="19"/>
        <v>65.069999999999993</v>
      </c>
      <c r="Q29">
        <v>0</v>
      </c>
      <c r="R29">
        <v>0</v>
      </c>
      <c r="S29">
        <f t="shared" si="5"/>
        <v>52.055999999999997</v>
      </c>
      <c r="T29">
        <v>0</v>
      </c>
      <c r="U29">
        <v>0</v>
      </c>
    </row>
    <row r="30" spans="1:21" x14ac:dyDescent="0.35">
      <c r="A30" t="s">
        <v>24</v>
      </c>
      <c r="B30">
        <v>771.1</v>
      </c>
      <c r="C30">
        <v>729.1</v>
      </c>
      <c r="D30">
        <v>686.8</v>
      </c>
      <c r="E30">
        <v>639.79999999999995</v>
      </c>
      <c r="F30">
        <v>459.3</v>
      </c>
      <c r="G30">
        <f t="shared" si="0"/>
        <v>106.8</v>
      </c>
      <c r="H30">
        <v>0</v>
      </c>
      <c r="I30">
        <v>0</v>
      </c>
      <c r="J30">
        <f t="shared" si="16"/>
        <v>65.069999999999993</v>
      </c>
      <c r="K30">
        <v>0</v>
      </c>
      <c r="L30">
        <f t="shared" si="17"/>
        <v>20.73</v>
      </c>
      <c r="M30">
        <f t="shared" si="18"/>
        <v>65.069999999999993</v>
      </c>
      <c r="N30">
        <v>0</v>
      </c>
      <c r="O30">
        <v>0</v>
      </c>
      <c r="P30">
        <f t="shared" si="19"/>
        <v>65.069999999999993</v>
      </c>
      <c r="Q30">
        <v>0</v>
      </c>
      <c r="R30">
        <v>0</v>
      </c>
      <c r="S30">
        <f t="shared" si="5"/>
        <v>52.055999999999997</v>
      </c>
      <c r="T30">
        <v>0</v>
      </c>
      <c r="U30">
        <v>0</v>
      </c>
    </row>
    <row r="31" spans="1:21" x14ac:dyDescent="0.35">
      <c r="A31" t="s">
        <v>25</v>
      </c>
      <c r="B31">
        <v>771.1</v>
      </c>
      <c r="C31">
        <v>729.1</v>
      </c>
      <c r="D31">
        <v>686.8</v>
      </c>
      <c r="E31">
        <v>639.79999999999995</v>
      </c>
      <c r="F31">
        <v>459.3</v>
      </c>
      <c r="G31">
        <f t="shared" si="0"/>
        <v>106.8</v>
      </c>
      <c r="H31">
        <v>0</v>
      </c>
      <c r="I31">
        <v>0</v>
      </c>
      <c r="J31">
        <f t="shared" si="16"/>
        <v>65.069999999999993</v>
      </c>
      <c r="K31">
        <v>0</v>
      </c>
      <c r="L31">
        <f t="shared" si="17"/>
        <v>20.73</v>
      </c>
      <c r="M31">
        <f t="shared" si="18"/>
        <v>65.069999999999993</v>
      </c>
      <c r="N31">
        <v>0</v>
      </c>
      <c r="O31">
        <v>0</v>
      </c>
      <c r="P31">
        <f t="shared" si="19"/>
        <v>65.069999999999993</v>
      </c>
      <c r="Q31">
        <v>0</v>
      </c>
      <c r="R31">
        <v>0</v>
      </c>
      <c r="S31">
        <f t="shared" si="5"/>
        <v>52.055999999999997</v>
      </c>
      <c r="T31">
        <v>0</v>
      </c>
      <c r="U31">
        <v>0</v>
      </c>
    </row>
    <row r="32" spans="1:21" x14ac:dyDescent="0.35">
      <c r="A32" t="s">
        <v>26</v>
      </c>
      <c r="B32">
        <v>771.1</v>
      </c>
      <c r="C32">
        <v>729.1</v>
      </c>
      <c r="D32">
        <v>686.8</v>
      </c>
      <c r="E32">
        <v>639.79999999999995</v>
      </c>
      <c r="F32">
        <v>459.3</v>
      </c>
      <c r="G32">
        <f t="shared" si="0"/>
        <v>106.8</v>
      </c>
      <c r="H32">
        <f>41.3*30/100</f>
        <v>12.39</v>
      </c>
      <c r="I32">
        <v>0</v>
      </c>
      <c r="J32">
        <f>209.5*30/100</f>
        <v>62.85</v>
      </c>
      <c r="K32">
        <f>43.7*30/100</f>
        <v>13.11</v>
      </c>
      <c r="L32">
        <f>34.7*30/100</f>
        <v>10.41</v>
      </c>
      <c r="M32">
        <f>209.5*30/100</f>
        <v>62.85</v>
      </c>
      <c r="N32">
        <f>43.7*30/100</f>
        <v>13.11</v>
      </c>
      <c r="O32">
        <v>0</v>
      </c>
      <c r="P32">
        <f>209.5*30/100</f>
        <v>62.85</v>
      </c>
      <c r="Q32">
        <f>69.92*30/100</f>
        <v>20.975999999999999</v>
      </c>
      <c r="R32">
        <v>0</v>
      </c>
      <c r="S32">
        <f t="shared" si="5"/>
        <v>50.28</v>
      </c>
      <c r="T32">
        <f>69.92*30/100</f>
        <v>20.975999999999999</v>
      </c>
      <c r="U32">
        <v>0</v>
      </c>
    </row>
    <row r="33" spans="1:21" x14ac:dyDescent="0.35">
      <c r="A33" t="s">
        <v>27</v>
      </c>
      <c r="B33">
        <v>788.9</v>
      </c>
      <c r="C33">
        <v>729.1</v>
      </c>
      <c r="D33">
        <v>686.8</v>
      </c>
      <c r="E33">
        <v>637</v>
      </c>
      <c r="F33">
        <v>459.3</v>
      </c>
      <c r="G33">
        <f t="shared" si="0"/>
        <v>106.8</v>
      </c>
      <c r="H33">
        <f>201.6*30/100</f>
        <v>60.48</v>
      </c>
      <c r="I33">
        <v>0</v>
      </c>
      <c r="J33">
        <f t="shared" ref="J33:J37" si="20">209.5*30/100</f>
        <v>62.85</v>
      </c>
      <c r="K33">
        <f>211.3*30/100</f>
        <v>63.39</v>
      </c>
      <c r="L33">
        <v>0</v>
      </c>
      <c r="M33">
        <f t="shared" ref="M33:M37" si="21">209.5*30/100</f>
        <v>62.85</v>
      </c>
      <c r="N33">
        <f>211.3*30/100</f>
        <v>63.39</v>
      </c>
      <c r="O33">
        <v>0</v>
      </c>
      <c r="P33">
        <f t="shared" ref="P33:P37" si="22">209.5*30/100</f>
        <v>62.85</v>
      </c>
      <c r="Q33">
        <f>169.04*30/100</f>
        <v>50.711999999999996</v>
      </c>
      <c r="R33">
        <v>0</v>
      </c>
      <c r="S33">
        <f t="shared" si="5"/>
        <v>50.28</v>
      </c>
      <c r="T33">
        <f>169.04*30/100</f>
        <v>50.711999999999996</v>
      </c>
      <c r="U33">
        <v>0</v>
      </c>
    </row>
    <row r="34" spans="1:21" x14ac:dyDescent="0.35">
      <c r="A34" t="s">
        <v>28</v>
      </c>
      <c r="B34">
        <v>752.5</v>
      </c>
      <c r="C34">
        <v>689.1</v>
      </c>
      <c r="D34">
        <v>635.6</v>
      </c>
      <c r="E34">
        <v>562.1</v>
      </c>
      <c r="F34">
        <v>440</v>
      </c>
      <c r="G34">
        <f t="shared" si="0"/>
        <v>106.8</v>
      </c>
      <c r="H34">
        <f>313.7*30/100</f>
        <v>94.11</v>
      </c>
      <c r="I34">
        <v>0</v>
      </c>
      <c r="J34">
        <f t="shared" si="20"/>
        <v>62.85</v>
      </c>
      <c r="K34">
        <f>332*30/100</f>
        <v>99.6</v>
      </c>
      <c r="L34">
        <v>0</v>
      </c>
      <c r="M34">
        <f t="shared" si="21"/>
        <v>62.85</v>
      </c>
      <c r="N34">
        <f>332*30/100</f>
        <v>99.6</v>
      </c>
      <c r="O34">
        <v>0</v>
      </c>
      <c r="P34">
        <f t="shared" si="22"/>
        <v>62.85</v>
      </c>
      <c r="Q34">
        <f>265.6*30/100</f>
        <v>79.680000000000007</v>
      </c>
      <c r="R34">
        <v>0</v>
      </c>
      <c r="S34">
        <f t="shared" si="5"/>
        <v>50.28</v>
      </c>
      <c r="T34">
        <f>265.6*30/100</f>
        <v>79.680000000000007</v>
      </c>
      <c r="U34">
        <v>0</v>
      </c>
    </row>
    <row r="35" spans="1:21" x14ac:dyDescent="0.35">
      <c r="A35" t="s">
        <v>29</v>
      </c>
      <c r="B35">
        <v>721.3</v>
      </c>
      <c r="C35">
        <v>632.9</v>
      </c>
      <c r="D35">
        <v>559.4</v>
      </c>
      <c r="E35">
        <v>486</v>
      </c>
      <c r="F35">
        <v>422.7</v>
      </c>
      <c r="G35">
        <f t="shared" si="0"/>
        <v>106.8</v>
      </c>
      <c r="H35">
        <f>123.6*30/100</f>
        <v>37.08</v>
      </c>
      <c r="I35">
        <v>0</v>
      </c>
      <c r="J35">
        <f t="shared" si="20"/>
        <v>62.85</v>
      </c>
      <c r="K35">
        <f>130.3*30/100</f>
        <v>39.090000000000003</v>
      </c>
      <c r="L35">
        <v>0</v>
      </c>
      <c r="M35">
        <f t="shared" si="21"/>
        <v>62.85</v>
      </c>
      <c r="N35">
        <f>130.3*30/100</f>
        <v>39.090000000000003</v>
      </c>
      <c r="O35">
        <v>0</v>
      </c>
      <c r="P35">
        <f t="shared" si="22"/>
        <v>62.85</v>
      </c>
      <c r="Q35">
        <f>91.28*30/100</f>
        <v>27.384</v>
      </c>
      <c r="R35">
        <v>0</v>
      </c>
      <c r="S35">
        <f t="shared" si="5"/>
        <v>50.28</v>
      </c>
      <c r="T35">
        <f>91.28*30/100</f>
        <v>27.384</v>
      </c>
      <c r="U35">
        <v>0</v>
      </c>
    </row>
    <row r="36" spans="1:21" x14ac:dyDescent="0.35">
      <c r="A36" t="s">
        <v>30</v>
      </c>
      <c r="B36">
        <v>750.7</v>
      </c>
      <c r="C36">
        <v>675</v>
      </c>
      <c r="D36">
        <v>614.1</v>
      </c>
      <c r="E36">
        <v>531.29999999999995</v>
      </c>
      <c r="F36">
        <v>420.7</v>
      </c>
      <c r="G36">
        <f t="shared" si="0"/>
        <v>106.8</v>
      </c>
      <c r="H36">
        <f>260*30/100</f>
        <v>78</v>
      </c>
      <c r="I36">
        <v>0</v>
      </c>
      <c r="J36">
        <f t="shared" si="20"/>
        <v>62.85</v>
      </c>
      <c r="K36">
        <f>278.7*30/100</f>
        <v>83.61</v>
      </c>
      <c r="L36">
        <v>0</v>
      </c>
      <c r="M36">
        <f t="shared" si="21"/>
        <v>62.85</v>
      </c>
      <c r="N36">
        <f>278.7*30/100</f>
        <v>83.61</v>
      </c>
      <c r="O36">
        <v>0</v>
      </c>
      <c r="P36">
        <f t="shared" si="22"/>
        <v>62.85</v>
      </c>
      <c r="Q36">
        <f>195.16*30/100</f>
        <v>58.548000000000002</v>
      </c>
      <c r="R36">
        <v>0</v>
      </c>
      <c r="S36">
        <f t="shared" si="5"/>
        <v>50.28</v>
      </c>
      <c r="T36">
        <f>195.16*30/100</f>
        <v>58.548000000000002</v>
      </c>
      <c r="U36">
        <v>0</v>
      </c>
    </row>
    <row r="37" spans="1:21" x14ac:dyDescent="0.35">
      <c r="A37" t="s">
        <v>31</v>
      </c>
      <c r="B37">
        <v>839.2</v>
      </c>
      <c r="C37">
        <v>783.5</v>
      </c>
      <c r="D37">
        <v>717.7</v>
      </c>
      <c r="E37">
        <v>610.4</v>
      </c>
      <c r="F37">
        <v>443.6</v>
      </c>
      <c r="G37">
        <f t="shared" si="0"/>
        <v>106.8</v>
      </c>
      <c r="H37">
        <f>137*30/100</f>
        <v>41.1</v>
      </c>
      <c r="I37">
        <v>0</v>
      </c>
      <c r="J37">
        <f t="shared" si="20"/>
        <v>62.85</v>
      </c>
      <c r="K37">
        <f>146.7*30/100</f>
        <v>44.01</v>
      </c>
      <c r="L37">
        <v>0</v>
      </c>
      <c r="M37">
        <f t="shared" si="21"/>
        <v>62.85</v>
      </c>
      <c r="N37">
        <f>146.7*30/100</f>
        <v>44.01</v>
      </c>
      <c r="O37">
        <v>0</v>
      </c>
      <c r="P37">
        <f t="shared" si="22"/>
        <v>62.85</v>
      </c>
      <c r="Q37">
        <f>102.69*30/100</f>
        <v>30.806999999999999</v>
      </c>
      <c r="R37">
        <v>0</v>
      </c>
      <c r="S37">
        <f t="shared" si="5"/>
        <v>50.28</v>
      </c>
      <c r="T37">
        <f>102.69*30/100</f>
        <v>30.806999999999999</v>
      </c>
      <c r="U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2024-02-07T05:33:56Z</dcterms:created>
  <dcterms:modified xsi:type="dcterms:W3CDTF">2024-02-08T10:56:02Z</dcterms:modified>
</cp:coreProperties>
</file>